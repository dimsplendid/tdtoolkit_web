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工作表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<sst xmlns="http://schemas.openxmlformats.org/spreadsheetml/2006/main" count="38" uniqueCount="26">
  <si>
    <t xml:space="preserve">LC</t>
  </si>
  <si>
    <t xml:space="preserve">platform</t>
  </si>
  <si>
    <t xml:space="preserve">Vop(V)</t>
  </si>
  <si>
    <t xml:space="preserve">V%</t>
  </si>
  <si>
    <t xml:space="preserve">Δnd(nm)</t>
  </si>
  <si>
    <t xml:space="preserve">Gap(um)</t>
  </si>
  <si>
    <t xml:space="preserve">Wx</t>
  </si>
  <si>
    <t xml:space="preserve">Wx_gain</t>
  </si>
  <si>
    <t xml:space="preserve">Wy</t>
  </si>
  <si>
    <t xml:space="preserve">Wy_gain</t>
  </si>
  <si>
    <t xml:space="preserve">LC%</t>
  </si>
  <si>
    <t xml:space="preserve">Tr(ms)</t>
  </si>
  <si>
    <t xml:space="preserve">Tf(ms)</t>
  </si>
  <si>
    <t xml:space="preserve">RT(ms)</t>
  </si>
  <si>
    <t xml:space="preserve">G2G(ms)</t>
  </si>
  <si>
    <t xml:space="preserve">CR</t>
  </si>
  <si>
    <t xml:space="preserve">ΔCR</t>
  </si>
  <si>
    <t xml:space="preserve">T%</t>
  </si>
  <si>
    <t xml:space="preserve">Scatter</t>
  </si>
  <si>
    <t xml:space="preserve">D</t>
  </si>
  <si>
    <t xml:space="preserve">W</t>
  </si>
  <si>
    <t xml:space="preserve">LCT-19-580</t>
  </si>
  <si>
    <t xml:space="preserve">NaN</t>
  </si>
  <si>
    <t xml:space="preserve">MOX-1</t>
  </si>
  <si>
    <t xml:space="preserve">Realme X50</t>
  </si>
  <si>
    <t xml:space="preserve">5905 test cell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</si>
</sst>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  <font>
      <b val="true"/>
      <sz val="10"/>
      <name val="Times New Roman"/>
      <family val="1"/>
      <charset val="136"/>
    </font>
    <font>
      <sz val="10"/>
      <name val="Times New Roman"/>
      <family val="1"/>
      <charset val="136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V5"/>
  <sheetViews>
    <sheetView showFormulas="false" showGridLines="true" showRowColHeaders="true" showZeros="true" rightToLeft="false" tabSelected="true" showOutlineSymbols="true" defaultGridColor="true" view="normal" topLeftCell="A1" colorId="64" zoomScale="160" zoomScaleNormal="160" zoomScalePageLayoutView="100" workbookViewId="0">
      <selection pane="topLeft" activeCell="T32" activeCellId="0" sqref="T32:T33"/>
    </sheetView>
  </sheetViews>
  <sheetFormatPr defaultColWidth="11.53515625" defaultRowHeight="12.8" zeroHeight="false" outlineLevelRow="0" outlineLevelCol="0"/>
  <cols>
    <col collapsed="false" customWidth="false" hidden="true" outlineLevel="0" max="12" min="12" style="0" width="11.52"/>
  </cols>
  <sheetData>
    <row r="1" customFormat="false" ht="12.8" hidden="false" customHeight="false" outlineLevel="0" collapsed="false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0" t="s">
        <v>18</v>
      </c>
      <c r="U1" s="0" t="s">
        <v>19</v>
      </c>
      <c r="V1" s="0" t="s">
        <v>20</v>
      </c>
    </row>
    <row r="2" customFormat="false" ht="12.8" hidden="false" customHeight="false" outlineLevel="0" collapsed="false">
      <c r="A2" s="1" t="n">
        <v>0</v>
      </c>
      <c r="B2" s="2" t="s">
        <v>21</v>
      </c>
      <c r="C2" s="2" t="n">
        <v>6515</v>
      </c>
      <c r="D2" s="2" t="n">
        <v>5.18</v>
      </c>
      <c r="E2" s="2" t="n">
        <v>99</v>
      </c>
      <c r="F2" s="2" t="n">
        <v>289</v>
      </c>
      <c r="G2" s="2" t="n">
        <v>2.5</v>
      </c>
      <c r="H2" s="2" t="n">
        <v>0.2588</v>
      </c>
      <c r="I2" s="2" t="n">
        <v>0</v>
      </c>
      <c r="J2" s="2" t="n">
        <v>0.272725</v>
      </c>
      <c r="K2" s="2" t="n">
        <v>0</v>
      </c>
      <c r="L2" s="2" t="s">
        <v>22</v>
      </c>
      <c r="M2" s="2" t="n">
        <v>6.4125</v>
      </c>
      <c r="N2" s="2" t="n">
        <v>6.318</v>
      </c>
      <c r="O2" s="2" t="n">
        <v>12.728</v>
      </c>
      <c r="P2" s="2" t="n">
        <v>15.57</v>
      </c>
      <c r="Q2" s="2" t="n">
        <v>1410.8</v>
      </c>
      <c r="R2" s="2" t="n">
        <v>0</v>
      </c>
      <c r="S2" s="2" t="n">
        <v>0.041885</v>
      </c>
      <c r="T2" s="0" t="n">
        <v>0.0262</v>
      </c>
      <c r="U2" s="0" t="n">
        <v>1</v>
      </c>
      <c r="V2" s="0" t="n">
        <v>1</v>
      </c>
    </row>
    <row r="3" customFormat="false" ht="12.8" hidden="false" customHeight="false" outlineLevel="0" collapsed="false">
      <c r="A3" s="1" t="n">
        <v>1</v>
      </c>
      <c r="B3" s="2" t="s">
        <v>23</v>
      </c>
      <c r="C3" s="2" t="s">
        <v>24</v>
      </c>
      <c r="D3" s="2" t="s">
        <v>22</v>
      </c>
      <c r="E3" s="2" t="s">
        <v>22</v>
      </c>
      <c r="F3" s="2" t="n">
        <v>313</v>
      </c>
      <c r="G3" s="2" t="n">
        <v>2.57</v>
      </c>
      <c r="H3" s="2" t="s">
        <v>22</v>
      </c>
      <c r="I3" s="2" t="s">
        <v>22</v>
      </c>
      <c r="J3" s="2" t="s">
        <v>22</v>
      </c>
      <c r="K3" s="2" t="s">
        <v>22</v>
      </c>
      <c r="L3" s="2" t="n">
        <v>75.8</v>
      </c>
      <c r="M3" s="2" t="n">
        <v>5.9</v>
      </c>
      <c r="N3" s="2" t="n">
        <v>5.6</v>
      </c>
      <c r="O3" s="2" t="n">
        <v>11.5</v>
      </c>
      <c r="P3" s="2" t="n">
        <v>14</v>
      </c>
      <c r="Q3" s="2" t="n">
        <v>1419</v>
      </c>
      <c r="R3" s="2" t="s">
        <v>22</v>
      </c>
      <c r="S3" s="2" t="s">
        <v>22</v>
      </c>
      <c r="T3" s="0" t="n">
        <v>0.0335</v>
      </c>
    </row>
    <row r="4" customFormat="false" ht="12.8" hidden="false" customHeight="false" outlineLevel="0" collapsed="false">
      <c r="A4" s="1" t="n">
        <v>2</v>
      </c>
      <c r="B4" s="2" t="s">
        <v>21</v>
      </c>
      <c r="C4" s="0" t="s">
        <v>25</v>
      </c>
      <c r="D4" s="0" t="n">
        <v>4.8</v>
      </c>
      <c r="E4" s="0" t="n">
        <v>92.7</v>
      </c>
      <c r="F4" s="2" t="n">
        <v>289</v>
      </c>
      <c r="G4" s="0" t="n">
        <v>2.5</v>
      </c>
      <c r="H4" s="0" t="n">
        <v>0.2694</v>
      </c>
      <c r="I4" s="0" t="n">
        <f aca="false">H4-H2</f>
        <v>0.0106</v>
      </c>
      <c r="J4" s="0" t="n">
        <v>0.2677</v>
      </c>
      <c r="K4" s="0" t="n">
        <f aca="false">J4-J2</f>
        <v>-0.005025</v>
      </c>
      <c r="L4" s="0" t="s">
        <v>22</v>
      </c>
      <c r="M4" s="0" t="n">
        <v>6.59</v>
      </c>
      <c r="N4" s="0" t="n">
        <v>6.59</v>
      </c>
      <c r="O4" s="0" t="n">
        <v>13.18</v>
      </c>
      <c r="P4" s="0" t="n">
        <f aca="false">P2*O4/O2</f>
        <v>16.1229258328096</v>
      </c>
      <c r="Q4" s="0" t="n">
        <f aca="false">Q2*V4</f>
        <v>1321.02181818182</v>
      </c>
      <c r="T4" s="0" t="n">
        <f aca="false">T2</f>
        <v>0.0262</v>
      </c>
      <c r="U4" s="0" t="n">
        <f aca="false">T4/T2</f>
        <v>1</v>
      </c>
      <c r="V4" s="0" t="n">
        <f aca="false">E4/E2</f>
        <v>0.936363636363636</v>
      </c>
    </row>
    <row r="5" customFormat="false" ht="12.8" hidden="false" customHeight="false" outlineLevel="0" collapsed="false">
      <c r="A5" s="1" t="n">
        <v>3</v>
      </c>
      <c r="B5" s="2" t="s">
        <v>23</v>
      </c>
      <c r="C5" s="3" t="s">
        <v>25</v>
      </c>
      <c r="D5" s="0" t="n">
        <v>4.8</v>
      </c>
      <c r="E5" s="0" t="n">
        <v>95.9</v>
      </c>
      <c r="F5" s="0" t="n">
        <f aca="false">0.1292*G5*1000</f>
        <v>323</v>
      </c>
      <c r="G5" s="0" t="n">
        <v>2.5</v>
      </c>
      <c r="H5" s="0" t="n">
        <v>0.2901</v>
      </c>
      <c r="I5" s="0" t="n">
        <f aca="false">H5-H2</f>
        <v>0.0313</v>
      </c>
      <c r="J5" s="0" t="n">
        <v>0.2974</v>
      </c>
      <c r="K5" s="3" t="n">
        <f aca="false">J5-J2</f>
        <v>0.024675</v>
      </c>
      <c r="M5" s="0" t="n">
        <v>6.91</v>
      </c>
      <c r="N5" s="0" t="n">
        <v>6.78</v>
      </c>
      <c r="O5" s="0" t="n">
        <v>13.69</v>
      </c>
      <c r="P5" s="0" t="n">
        <f aca="false">P3*O5/O3</f>
        <v>16.6660869565217</v>
      </c>
      <c r="Q5" s="0" t="n">
        <f aca="false">Q3*V5</f>
        <v>1374.56666666667</v>
      </c>
      <c r="T5" s="0" t="n">
        <f aca="false">T3*G5/G3</f>
        <v>0.0325875486381323</v>
      </c>
      <c r="U5" s="0" t="n">
        <f aca="false">T5/T2</f>
        <v>1.24379956634093</v>
      </c>
      <c r="V5" s="0" t="n">
        <f aca="false">E5/E2</f>
        <v>0.968686868686869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Roman,標準"&amp;12&amp;A</oddHeader>
    <oddFooter>&amp;C&amp;"Times New Roman,標準"&amp;12頁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LibreOffice/6.4.4.2$Windows_X86_64 LibreOffice_project/3d775be2011f3886db32dfd395a6a6d1ca2630ff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2021-06-23T03:53:56Z</dcterms:created>
  <dc:creator/>
  <dc:description/>
  <dc:language>en-US</dc:language>
  <cp:lastModifiedBy/>
  <dcterms:modified xsi:type="dcterms:W3CDTF">2021-06-23T09:12:48Z</dcterms:modified>
  <cp:revision>2</cp:revision>
  <dc:subject/>
  <dc:title/>
</cp:coreProperties>
</file>